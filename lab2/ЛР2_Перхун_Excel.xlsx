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fea6309b7c1ccc1/Desktop/NYLP/5/analysis/lab2/"/>
    </mc:Choice>
  </mc:AlternateContent>
  <xr:revisionPtr revIDLastSave="1" documentId="11_9CAB9B4D2F5AC01160227F7BDCDE0ACE4E9E62B7" xr6:coauthVersionLast="47" xr6:coauthVersionMax="47" xr10:uidLastSave="{9DD81E28-3A68-4ECC-A5E3-67E3869C599F}"/>
  <bookViews>
    <workbookView xWindow="-108" yWindow="-108" windowWidth="23256" windowHeight="12456" tabRatio="500" activeTab="1" xr2:uid="{00000000-000D-0000-FFFF-FFFF00000000}"/>
  </bookViews>
  <sheets>
    <sheet name="Звіт про стійкість 1" sheetId="6" r:id="rId1"/>
    <sheet name="Модель" sheetId="1" r:id="rId2"/>
    <sheet name="Налаштування Solver" sheetId="2" r:id="rId3"/>
    <sheet name="Закупівля" sheetId="4" r:id="rId4"/>
  </sheets>
  <definedNames>
    <definedName name="solver_adj" localSheetId="1" hidden="1">Модель!$B$14:$E$14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Модель!$B$18:$B$22</definedName>
    <definedName name="solver_lhs2" localSheetId="1" hidden="1">Модель!$B$18:$B$22</definedName>
    <definedName name="solver_lin" localSheetId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Модель!$B$25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1</definedName>
    <definedName name="solver_rhs1" localSheetId="1" hidden="1">Модель!$C$18:$C$22</definedName>
    <definedName name="solver_rhs2" localSheetId="1" hidden="1">Модель!$C$18:$C$22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4" l="1"/>
  <c r="B5" i="4"/>
  <c r="B7" i="4" s="1"/>
  <c r="B26" i="1"/>
  <c r="B25" i="1"/>
  <c r="C22" i="1"/>
  <c r="B22" i="1"/>
  <c r="C21" i="1"/>
  <c r="B21" i="1"/>
  <c r="D21" i="1" s="1"/>
  <c r="E21" i="1" s="1"/>
  <c r="C20" i="1"/>
  <c r="B20" i="1"/>
  <c r="C19" i="1"/>
  <c r="B19" i="1"/>
  <c r="C18" i="1"/>
  <c r="B18" i="1"/>
  <c r="D18" i="1" s="1"/>
  <c r="E18" i="1" s="1"/>
  <c r="D20" i="1" l="1"/>
  <c r="E20" i="1" s="1"/>
  <c r="D19" i="1"/>
  <c r="E19" i="1" s="1"/>
  <c r="D22" i="1"/>
  <c r="E22" i="1" s="1"/>
  <c r="B9" i="4"/>
  <c r="B10" i="4" s="1"/>
  <c r="B8" i="4"/>
  <c r="B27" i="1" l="1"/>
</calcChain>
</file>

<file path=xl/sharedStrings.xml><?xml version="1.0" encoding="utf-8"?>
<sst xmlns="http://schemas.openxmlformats.org/spreadsheetml/2006/main" count="115" uniqueCount="94">
  <si>
    <t>ЛР2. Виробнича задача — «Карпатський дуб», варіант 11 (Перхун М., ШІ-34)</t>
  </si>
  <si>
    <t>Легенда: синій текст — вхідні дані; жовті клітинки — змінні рішення (їх змінює Пошук рішення); чорний — формули.</t>
  </si>
  <si>
    <t>Ресурс</t>
  </si>
  <si>
    <t>Крісло</t>
  </si>
  <si>
    <t>Стілець</t>
  </si>
  <si>
    <t>Табурет</t>
  </si>
  <si>
    <t>Лава</t>
  </si>
  <si>
    <t>Запас (b)</t>
  </si>
  <si>
    <t>Дубовий брус, м</t>
  </si>
  <si>
    <t>Фанера, м²</t>
  </si>
  <si>
    <t>Фурнітура, компл.</t>
  </si>
  <si>
    <t>Верстат, год</t>
  </si>
  <si>
    <t>Лакування, год</t>
  </si>
  <si>
    <t>Прибуток з одиниці (c)</t>
  </si>
  <si>
    <t>ЗМІННІ РІШЕННЯ (шт./тиждень)</t>
  </si>
  <si>
    <t>Випуск x</t>
  </si>
  <si>
    <t>ВИТРАТИ РЕСУРСІВ</t>
  </si>
  <si>
    <t>Витрачено</t>
  </si>
  <si>
    <t>Запас</t>
  </si>
  <si>
    <t>Залишок</t>
  </si>
  <si>
    <t>Статус</t>
  </si>
  <si>
    <t>ЦІЛЬОВА ФУНКЦІЯ</t>
  </si>
  <si>
    <t>Прибуток Z = Σ cⱼ·xⱼ</t>
  </si>
  <si>
    <t>Ненульових виробів</t>
  </si>
  <si>
    <t>Зв’язних обмежень</t>
  </si>
  <si>
    <t>Налаштування Пошуку рішення</t>
  </si>
  <si>
    <t>Параметр</t>
  </si>
  <si>
    <t>Значення</t>
  </si>
  <si>
    <t>Цільова клітинка (Set Objective)</t>
  </si>
  <si>
    <t>$B$25  (Прибуток Z)</t>
  </si>
  <si>
    <t>До (To)</t>
  </si>
  <si>
    <t>Максимум</t>
  </si>
  <si>
    <t>Змінюючи клітинки (By Changing)</t>
  </si>
  <si>
    <t>$B$14:$E$14</t>
  </si>
  <si>
    <t>Обмеження (Subject to)</t>
  </si>
  <si>
    <t>$B$18:$B$22 &lt;= $C$18:$C$22</t>
  </si>
  <si>
    <t>Зробити змінні без обмежень невід’ємними</t>
  </si>
  <si>
    <t>так (прапорець увімкнено)</t>
  </si>
  <si>
    <t>Метод розв’язання</t>
  </si>
  <si>
    <t>Симплекс-метод для лінійних задач (Simplex LP)</t>
  </si>
  <si>
    <t>Як отримати звіт і скріншот (робиться вручну в Excel):</t>
  </si>
  <si>
    <t>1. Дані → Пошук рішення (надбудову увімкнути: Файл → Параметри → Надбудови → Пошук рішення).</t>
  </si>
  <si>
    <t>2. Перевірте параметри з таблиці вище (налаштування вже збережено в цьому аркуші «Модель»).</t>
  </si>
  <si>
    <t>3. Натисніть «Знайти рішення» → «Зберегти знайдене рішення» → у списку звітів оберіть «Стійкість» → OK.</t>
  </si>
  <si>
    <t>4. Excel створить окремий аркуш «Звіт про стійкість 1» — він замінює аркуш «Звіт про стійкість (еталон)».</t>
  </si>
  <si>
    <t>5. Скріншот вікна «Параметри пошуку рішення» додайте на цей аркуш (Вставка → Зображення).</t>
  </si>
  <si>
    <t>6. Очікуваний результат: x = (0; 0; 209,5; 103,1667), Z = 14 295,3333.</t>
  </si>
  <si>
    <t>[місце для скріншота налаштувань Solver]</t>
  </si>
  <si>
    <t>Клітинка</t>
  </si>
  <si>
    <t>$B$14</t>
  </si>
  <si>
    <t>$C$14</t>
  </si>
  <si>
    <t>$D$14</t>
  </si>
  <si>
    <t>$E$14</t>
  </si>
  <si>
    <t>Обмеження</t>
  </si>
  <si>
    <t>$B$18</t>
  </si>
  <si>
    <t>$B$19</t>
  </si>
  <si>
    <t>$B$20</t>
  </si>
  <si>
    <t>$B$21</t>
  </si>
  <si>
    <t>$B$22</t>
  </si>
  <si>
    <t>Рішення про закупівлю фанери</t>
  </si>
  <si>
    <t>Ціна пропозиції, за од.</t>
  </si>
  <si>
    <t>Обсяг пропозиції, од.</t>
  </si>
  <si>
    <t>Тіньова ціна фанери (зі звіту)</t>
  </si>
  <si>
    <t>Допустиме збільшення фанери (зі звіту)</t>
  </si>
  <si>
    <t>Чиста вигода однієї одиниці</t>
  </si>
  <si>
    <t>Рішення</t>
  </si>
  <si>
    <t>Кількість, яку має сенс купити</t>
  </si>
  <si>
    <t>Очікуваний виграш</t>
  </si>
  <si>
    <t>Перевірка прямим розв’язанням у Python (ЛР2.ipynb, етап 6): купівля 778 од. дає приріст прибутку 6398,67 при оплаті 12136,80 → чистий результат −5738,13.</t>
  </si>
  <si>
    <t>Microsoft Excel 16.0 Звіт про стійкість</t>
  </si>
  <si>
    <t>Аркуш: [ЛР2_Перхун_Excel.xlsx]Модель</t>
  </si>
  <si>
    <t>Клітинки змінних</t>
  </si>
  <si>
    <t>Назва</t>
  </si>
  <si>
    <t>Остаточне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</si>
  <si>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</si>
  <si>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</si>
  <si>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</si>
  <si>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</si>
  <si>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</si>
  <si>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</si>
  <si>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</si>
  <si>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Тінь</t>
  </si>
  <si>
    <t>Ціна</t>
  </si>
  <si>
    <t>Права сторона</t>
  </si>
  <si>
    <t>Випуск x Крісло</t>
  </si>
  <si>
    <t>Випуск x Стілець</t>
  </si>
  <si>
    <t>Випуск x Табурет</t>
  </si>
  <si>
    <t>Випуск x Лава</t>
  </si>
  <si>
    <t>Дубовий брус, м Витрачено</t>
  </si>
  <si>
    <t>Фанера, м² Витрачено</t>
  </si>
  <si>
    <t>Фурнітура, компл. Витрачено</t>
  </si>
  <si>
    <t>Верстат, год Витрачено</t>
  </si>
  <si>
    <t>Лакування, год Витрачено</t>
  </si>
  <si>
    <t>Звіт створено: 02.10.2026 17:33:20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</si>
</sst>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i/>
      <sz val="10"/>
      <color rgb="FF999999"/>
      <name val="Arial"/>
      <charset val="1"/>
    </font>
    <font>
      <b/>
      <sz val="11"/>
      <color theme="1"/>
      <name val="Calibri"/>
      <family val="2"/>
    </font>
    <font>
      <b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0" xfId="0" applyFont="1"/>
    <xf numFmtId="164" fontId="5" fillId="3" borderId="1" xfId="0" applyNumberFormat="1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7" fillId="0" borderId="0" xfId="0" applyFont="1"/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0" borderId="0" xfId="0" applyFont="1"/>
    <xf numFmtId="0" fontId="0" fillId="0" borderId="4" xfId="0" applyFill="1" applyBorder="1" applyAlignment="1"/>
    <xf numFmtId="0" fontId="0" fillId="0" borderId="5" xfId="0" applyFill="1" applyBorder="1" applyAlignment="1"/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F39C-84C4-4413-92D2-06B839F00DA5}">
  <dimension ref="A1:H21"/>
  <sheetViews>
    <sheetView showGridLines="0" workbookViewId="0">
      <selection activeCell="F3" sqref="F3"/>
    </sheetView>
  </sheetViews>
  <sheetFormatPr defaultRowHeight="14.4" x14ac:dyDescent="0.3"/>
  <cols>
    <col min="1" max="1" width="2.33203125" customWidth="1"/>
    <col min="2" max="2" width="8.5546875" bestFit="1" customWidth="1"/>
    <col min="3" max="3" width="26.33203125" bestFit="1" customWidth="1"/>
    <col min="4" max="5" width="12" bestFit="1" customWidth="1"/>
    <col min="6" max="6" width="15.44140625" bestFit="1" customWidth="1"/>
    <col min="7" max="8" width="12" bestFit="1" customWidth="1"/>
  </cols>
  <sheetData>
    <row r="1" spans="1:8" x14ac:dyDescent="0.3">
      <c r="A1" s="20" t="s">
        <v>69</v>
      </c>
    </row>
    <row r="2" spans="1:8" x14ac:dyDescent="0.3">
      <c r="A2" s="20" t="s">
        <v>70</v>
      </c>
    </row>
    <row r="3" spans="1:8" x14ac:dyDescent="0.3">
      <c r="A3" s="20" t="s">
        <v>93</v>
      </c>
    </row>
    <row r="6" spans="1:8" ht="15" thickBot="1" x14ac:dyDescent="0.35">
      <c r="A6" t="s">
        <v>71</v>
      </c>
    </row>
    <row r="7" spans="1:8" x14ac:dyDescent="0.3">
      <c r="B7" s="23"/>
      <c r="C7" s="23"/>
      <c r="D7" s="23" t="s">
        <v>73</v>
      </c>
      <c r="E7" s="23" t="s">
        <v>74</v>
      </c>
      <c r="F7" s="23" t="s">
        <v>76</v>
      </c>
      <c r="G7" s="23" t="s">
        <v>78</v>
      </c>
      <c r="H7" s="23" t="s">
        <v>78</v>
      </c>
    </row>
    <row r="8" spans="1:8" ht="15" thickBot="1" x14ac:dyDescent="0.35">
      <c r="B8" s="24" t="s">
        <v>48</v>
      </c>
      <c r="C8" s="24" t="s">
        <v>72</v>
      </c>
      <c r="D8" s="24" t="s">
        <v>27</v>
      </c>
      <c r="E8" s="24" t="s">
        <v>75</v>
      </c>
      <c r="F8" s="24" t="s">
        <v>77</v>
      </c>
      <c r="G8" s="24" t="s">
        <v>79</v>
      </c>
      <c r="H8" s="24" t="s">
        <v>80</v>
      </c>
    </row>
    <row r="9" spans="1:8" x14ac:dyDescent="0.3">
      <c r="B9" s="21" t="s">
        <v>49</v>
      </c>
      <c r="C9" s="21" t="s">
        <v>84</v>
      </c>
      <c r="D9" s="21">
        <v>0</v>
      </c>
      <c r="E9" s="21">
        <v>-17</v>
      </c>
      <c r="F9" s="21">
        <v>30</v>
      </c>
      <c r="G9" s="21">
        <v>17</v>
      </c>
      <c r="H9" s="21">
        <v>1E+30</v>
      </c>
    </row>
    <row r="10" spans="1:8" x14ac:dyDescent="0.3">
      <c r="B10" s="21" t="s">
        <v>50</v>
      </c>
      <c r="C10" s="21" t="s">
        <v>85</v>
      </c>
      <c r="D10" s="21">
        <v>0</v>
      </c>
      <c r="E10" s="21">
        <v>-5.5</v>
      </c>
      <c r="F10" s="21">
        <v>16</v>
      </c>
      <c r="G10" s="21">
        <v>5.5</v>
      </c>
      <c r="H10" s="21">
        <v>1E+30</v>
      </c>
    </row>
    <row r="11" spans="1:8" x14ac:dyDescent="0.3">
      <c r="B11" s="21" t="s">
        <v>51</v>
      </c>
      <c r="C11" s="21" t="s">
        <v>86</v>
      </c>
      <c r="D11" s="21">
        <v>209.5</v>
      </c>
      <c r="E11" s="21">
        <v>0</v>
      </c>
      <c r="F11" s="21">
        <v>51</v>
      </c>
      <c r="G11" s="21">
        <v>1E+30</v>
      </c>
      <c r="H11" s="21">
        <v>22</v>
      </c>
    </row>
    <row r="12" spans="1:8" ht="15" thickBot="1" x14ac:dyDescent="0.35">
      <c r="B12" s="22" t="s">
        <v>52</v>
      </c>
      <c r="C12" s="22" t="s">
        <v>87</v>
      </c>
      <c r="D12" s="22">
        <v>103.16666666666666</v>
      </c>
      <c r="E12" s="22">
        <v>0</v>
      </c>
      <c r="F12" s="22">
        <v>35</v>
      </c>
      <c r="G12" s="22">
        <v>118.00000000000001</v>
      </c>
      <c r="H12" s="22">
        <v>22</v>
      </c>
    </row>
    <row r="14" spans="1:8" ht="15" thickBot="1" x14ac:dyDescent="0.35">
      <c r="A14" t="s">
        <v>53</v>
      </c>
    </row>
    <row r="15" spans="1:8" x14ac:dyDescent="0.3">
      <c r="B15" s="23"/>
      <c r="C15" s="23"/>
      <c r="D15" s="23" t="s">
        <v>73</v>
      </c>
      <c r="E15" s="23" t="s">
        <v>81</v>
      </c>
      <c r="F15" s="23" t="s">
        <v>53</v>
      </c>
      <c r="G15" s="23" t="s">
        <v>78</v>
      </c>
      <c r="H15" s="23" t="s">
        <v>78</v>
      </c>
    </row>
    <row r="16" spans="1:8" ht="15" thickBot="1" x14ac:dyDescent="0.35">
      <c r="B16" s="24" t="s">
        <v>48</v>
      </c>
      <c r="C16" s="24" t="s">
        <v>72</v>
      </c>
      <c r="D16" s="24" t="s">
        <v>27</v>
      </c>
      <c r="E16" s="24" t="s">
        <v>82</v>
      </c>
      <c r="F16" s="24" t="s">
        <v>83</v>
      </c>
      <c r="G16" s="24" t="s">
        <v>79</v>
      </c>
      <c r="H16" s="24" t="s">
        <v>80</v>
      </c>
    </row>
    <row r="17" spans="2:8" x14ac:dyDescent="0.3">
      <c r="B17" s="21" t="s">
        <v>54</v>
      </c>
      <c r="C17" s="21" t="s">
        <v>88</v>
      </c>
      <c r="D17" s="21">
        <v>309.5</v>
      </c>
      <c r="E17" s="21">
        <v>0</v>
      </c>
      <c r="F17" s="21">
        <v>1312</v>
      </c>
      <c r="G17" s="21">
        <v>1E+30</v>
      </c>
      <c r="H17" s="21">
        <v>1002.5</v>
      </c>
    </row>
    <row r="18" spans="2:8" x14ac:dyDescent="0.3">
      <c r="B18" s="21" t="s">
        <v>55</v>
      </c>
      <c r="C18" s="21" t="s">
        <v>89</v>
      </c>
      <c r="D18" s="21">
        <v>838</v>
      </c>
      <c r="E18" s="21">
        <v>9.8333333333333339</v>
      </c>
      <c r="F18" s="21">
        <v>838</v>
      </c>
      <c r="G18" s="21">
        <v>389.42857142857144</v>
      </c>
      <c r="H18" s="21">
        <v>838</v>
      </c>
    </row>
    <row r="19" spans="2:8" x14ac:dyDescent="0.3">
      <c r="B19" s="21" t="s">
        <v>56</v>
      </c>
      <c r="C19" s="21" t="s">
        <v>90</v>
      </c>
      <c r="D19" s="21">
        <v>834.83333333333326</v>
      </c>
      <c r="E19" s="21">
        <v>0</v>
      </c>
      <c r="F19" s="21">
        <v>1062</v>
      </c>
      <c r="G19" s="21">
        <v>1E+30</v>
      </c>
      <c r="H19" s="21">
        <v>227.16666666666669</v>
      </c>
    </row>
    <row r="20" spans="2:8" x14ac:dyDescent="0.3">
      <c r="B20" s="21" t="s">
        <v>57</v>
      </c>
      <c r="C20" s="21" t="s">
        <v>91</v>
      </c>
      <c r="D20" s="21">
        <v>1038</v>
      </c>
      <c r="E20" s="21">
        <v>5.833333333333333</v>
      </c>
      <c r="F20" s="21">
        <v>1038</v>
      </c>
      <c r="G20" s="21">
        <v>681.50000000000011</v>
      </c>
      <c r="H20" s="21">
        <v>619</v>
      </c>
    </row>
    <row r="21" spans="2:8" ht="15" thickBot="1" x14ac:dyDescent="0.35">
      <c r="B21" s="22" t="s">
        <v>58</v>
      </c>
      <c r="C21" s="22" t="s">
        <v>92</v>
      </c>
      <c r="D21" s="22">
        <v>309.5</v>
      </c>
      <c r="E21" s="22">
        <v>0</v>
      </c>
      <c r="F21" s="22">
        <v>1236</v>
      </c>
      <c r="G21" s="22">
        <v>1E+30</v>
      </c>
      <c r="H21" s="22">
        <v>926.5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zoomScaleNormal="100" workbookViewId="0">
      <selection activeCell="G14" sqref="G14"/>
    </sheetView>
  </sheetViews>
  <sheetFormatPr defaultColWidth="8.6640625" defaultRowHeight="14.4" x14ac:dyDescent="0.3"/>
  <cols>
    <col min="1" max="1" width="30" customWidth="1"/>
    <col min="2" max="6" width="14" customWidth="1"/>
  </cols>
  <sheetData>
    <row r="1" spans="1:6" ht="17.399999999999999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 t="s">
        <v>8</v>
      </c>
      <c r="B5" s="5">
        <v>2</v>
      </c>
      <c r="C5" s="5">
        <v>1</v>
      </c>
      <c r="D5" s="5">
        <v>0</v>
      </c>
      <c r="E5" s="5">
        <v>3</v>
      </c>
      <c r="F5" s="5">
        <v>1312</v>
      </c>
    </row>
    <row r="6" spans="1:6" x14ac:dyDescent="0.3">
      <c r="A6" s="4" t="s">
        <v>9</v>
      </c>
      <c r="B6" s="5">
        <v>3</v>
      </c>
      <c r="C6" s="5">
        <v>1</v>
      </c>
      <c r="D6" s="5">
        <v>4</v>
      </c>
      <c r="E6" s="5">
        <v>0</v>
      </c>
      <c r="F6" s="5">
        <v>838</v>
      </c>
    </row>
    <row r="7" spans="1:6" x14ac:dyDescent="0.3">
      <c r="A7" s="4" t="s">
        <v>10</v>
      </c>
      <c r="B7" s="5">
        <v>1</v>
      </c>
      <c r="C7" s="5">
        <v>0</v>
      </c>
      <c r="D7" s="5">
        <v>3</v>
      </c>
      <c r="E7" s="5">
        <v>2</v>
      </c>
      <c r="F7" s="5">
        <v>1062</v>
      </c>
    </row>
    <row r="8" spans="1:6" x14ac:dyDescent="0.3">
      <c r="A8" s="4" t="s">
        <v>11</v>
      </c>
      <c r="B8" s="5">
        <v>3</v>
      </c>
      <c r="C8" s="5">
        <v>2</v>
      </c>
      <c r="D8" s="5">
        <v>2</v>
      </c>
      <c r="E8" s="5">
        <v>6</v>
      </c>
      <c r="F8" s="5">
        <v>1038</v>
      </c>
    </row>
    <row r="9" spans="1:6" x14ac:dyDescent="0.3">
      <c r="A9" s="4" t="s">
        <v>12</v>
      </c>
      <c r="B9" s="5">
        <v>3</v>
      </c>
      <c r="C9" s="5">
        <v>6</v>
      </c>
      <c r="D9" s="5">
        <v>0</v>
      </c>
      <c r="E9" s="5">
        <v>3</v>
      </c>
      <c r="F9" s="5">
        <v>1236</v>
      </c>
    </row>
    <row r="10" spans="1:6" x14ac:dyDescent="0.3">
      <c r="A10" s="4" t="s">
        <v>13</v>
      </c>
      <c r="B10" s="5">
        <v>30</v>
      </c>
      <c r="C10" s="5">
        <v>16</v>
      </c>
      <c r="D10" s="5">
        <v>51</v>
      </c>
      <c r="E10" s="5">
        <v>35</v>
      </c>
    </row>
    <row r="12" spans="1:6" x14ac:dyDescent="0.3">
      <c r="A12" s="6" t="s">
        <v>14</v>
      </c>
    </row>
    <row r="13" spans="1:6" x14ac:dyDescent="0.3">
      <c r="A13" s="3"/>
      <c r="B13" s="3" t="s">
        <v>3</v>
      </c>
      <c r="C13" s="3" t="s">
        <v>4</v>
      </c>
      <c r="D13" s="3" t="s">
        <v>5</v>
      </c>
      <c r="E13" s="3" t="s">
        <v>6</v>
      </c>
    </row>
    <row r="14" spans="1:6" x14ac:dyDescent="0.3">
      <c r="A14" s="4" t="s">
        <v>15</v>
      </c>
      <c r="B14" s="7">
        <v>0</v>
      </c>
      <c r="C14" s="7">
        <v>0</v>
      </c>
      <c r="D14" s="7">
        <v>209.5</v>
      </c>
      <c r="E14" s="7">
        <v>103.16666666666666</v>
      </c>
    </row>
    <row r="16" spans="1:6" x14ac:dyDescent="0.3">
      <c r="A16" s="6" t="s">
        <v>16</v>
      </c>
    </row>
    <row r="17" spans="1:5" x14ac:dyDescent="0.3">
      <c r="A17" s="3" t="s">
        <v>2</v>
      </c>
      <c r="B17" s="3" t="s">
        <v>17</v>
      </c>
      <c r="C17" s="3" t="s">
        <v>18</v>
      </c>
      <c r="D17" s="3" t="s">
        <v>19</v>
      </c>
      <c r="E17" s="3" t="s">
        <v>20</v>
      </c>
    </row>
    <row r="18" spans="1:5" x14ac:dyDescent="0.3">
      <c r="A18" s="4" t="s">
        <v>8</v>
      </c>
      <c r="B18" s="8">
        <f>SUMPRODUCT($B$14:$E$14,B5:E5)</f>
        <v>309.5</v>
      </c>
      <c r="C18" s="9">
        <f>F5</f>
        <v>1312</v>
      </c>
      <c r="D18" s="8">
        <f>C18-B18</f>
        <v>1002.5</v>
      </c>
      <c r="E18" s="10" t="str">
        <f>IF(D18&lt;0.000001,"дефіцит","надлишок")</f>
        <v>надлишок</v>
      </c>
    </row>
    <row r="19" spans="1:5" x14ac:dyDescent="0.3">
      <c r="A19" s="4" t="s">
        <v>9</v>
      </c>
      <c r="B19" s="8">
        <f>SUMPRODUCT($B$14:$E$14,B6:E6)</f>
        <v>838</v>
      </c>
      <c r="C19" s="9">
        <f>F6</f>
        <v>838</v>
      </c>
      <c r="D19" s="8">
        <f>C19-B19</f>
        <v>0</v>
      </c>
      <c r="E19" s="10" t="str">
        <f>IF(D19&lt;0.000001,"дефіцит","надлишок")</f>
        <v>дефіцит</v>
      </c>
    </row>
    <row r="20" spans="1:5" x14ac:dyDescent="0.3">
      <c r="A20" s="4" t="s">
        <v>10</v>
      </c>
      <c r="B20" s="8">
        <f>SUMPRODUCT($B$14:$E$14,B7:E7)</f>
        <v>834.83333333333326</v>
      </c>
      <c r="C20" s="9">
        <f>F7</f>
        <v>1062</v>
      </c>
      <c r="D20" s="8">
        <f>C20-B20</f>
        <v>227.16666666666674</v>
      </c>
      <c r="E20" s="10" t="str">
        <f>IF(D20&lt;0.000001,"дефіцит","надлишок")</f>
        <v>надлишок</v>
      </c>
    </row>
    <row r="21" spans="1:5" x14ac:dyDescent="0.3">
      <c r="A21" s="4" t="s">
        <v>11</v>
      </c>
      <c r="B21" s="8">
        <f>SUMPRODUCT($B$14:$E$14,B8:E8)</f>
        <v>1038</v>
      </c>
      <c r="C21" s="9">
        <f>F8</f>
        <v>1038</v>
      </c>
      <c r="D21" s="8">
        <f>C21-B21</f>
        <v>0</v>
      </c>
      <c r="E21" s="10" t="str">
        <f>IF(D21&lt;0.000001,"дефіцит","надлишок")</f>
        <v>дефіцит</v>
      </c>
    </row>
    <row r="22" spans="1:5" x14ac:dyDescent="0.3">
      <c r="A22" s="4" t="s">
        <v>12</v>
      </c>
      <c r="B22" s="8">
        <f>SUMPRODUCT($B$14:$E$14,B9:E9)</f>
        <v>309.5</v>
      </c>
      <c r="C22" s="9">
        <f>F9</f>
        <v>1236</v>
      </c>
      <c r="D22" s="8">
        <f>C22-B22</f>
        <v>926.5</v>
      </c>
      <c r="E22" s="10" t="str">
        <f>IF(D22&lt;0.000001,"дефіцит","надлишок")</f>
        <v>надлишок</v>
      </c>
    </row>
    <row r="24" spans="1:5" x14ac:dyDescent="0.3">
      <c r="A24" s="6" t="s">
        <v>21</v>
      </c>
    </row>
    <row r="25" spans="1:5" x14ac:dyDescent="0.3">
      <c r="A25" s="4" t="s">
        <v>22</v>
      </c>
      <c r="B25" s="11">
        <f>SUMPRODUCT(B14:E14,B10:E10)</f>
        <v>14295.333333333332</v>
      </c>
    </row>
    <row r="26" spans="1:5" x14ac:dyDescent="0.3">
      <c r="A26" s="4" t="s">
        <v>23</v>
      </c>
      <c r="B26" s="10">
        <f>COUNTIF(B14:E14,"&gt;0.000001")</f>
        <v>0</v>
      </c>
    </row>
    <row r="27" spans="1:5" x14ac:dyDescent="0.3">
      <c r="A27" s="4" t="s">
        <v>24</v>
      </c>
      <c r="B27" s="10">
        <f>COUNTIF(E18:E22,"дефіцит")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/>
  </sheetViews>
  <sheetFormatPr defaultColWidth="8.6640625" defaultRowHeight="14.4" x14ac:dyDescent="0.3"/>
  <cols>
    <col min="1" max="2" width="48" customWidth="1"/>
  </cols>
  <sheetData>
    <row r="1" spans="1:2" ht="17.399999999999999" x14ac:dyDescent="0.3">
      <c r="A1" s="1" t="s">
        <v>25</v>
      </c>
    </row>
    <row r="3" spans="1:2" x14ac:dyDescent="0.3">
      <c r="A3" s="3" t="s">
        <v>26</v>
      </c>
      <c r="B3" s="3" t="s">
        <v>27</v>
      </c>
    </row>
    <row r="4" spans="1:2" x14ac:dyDescent="0.3">
      <c r="A4" s="4" t="s">
        <v>28</v>
      </c>
      <c r="B4" s="12" t="s">
        <v>29</v>
      </c>
    </row>
    <row r="5" spans="1:2" x14ac:dyDescent="0.3">
      <c r="A5" s="4" t="s">
        <v>30</v>
      </c>
      <c r="B5" s="12" t="s">
        <v>31</v>
      </c>
    </row>
    <row r="6" spans="1:2" x14ac:dyDescent="0.3">
      <c r="A6" s="4" t="s">
        <v>32</v>
      </c>
      <c r="B6" s="12" t="s">
        <v>33</v>
      </c>
    </row>
    <row r="7" spans="1:2" x14ac:dyDescent="0.3">
      <c r="A7" s="4" t="s">
        <v>34</v>
      </c>
      <c r="B7" s="12" t="s">
        <v>35</v>
      </c>
    </row>
    <row r="8" spans="1:2" x14ac:dyDescent="0.3">
      <c r="A8" s="4" t="s">
        <v>36</v>
      </c>
      <c r="B8" s="12" t="s">
        <v>37</v>
      </c>
    </row>
    <row r="9" spans="1:2" x14ac:dyDescent="0.3">
      <c r="A9" s="4" t="s">
        <v>38</v>
      </c>
      <c r="B9" s="12" t="s">
        <v>39</v>
      </c>
    </row>
    <row r="11" spans="1:2" x14ac:dyDescent="0.3">
      <c r="A11" s="6" t="s">
        <v>40</v>
      </c>
    </row>
    <row r="12" spans="1:2" x14ac:dyDescent="0.3">
      <c r="A12" s="13" t="s">
        <v>41</v>
      </c>
    </row>
    <row r="13" spans="1:2" x14ac:dyDescent="0.3">
      <c r="A13" s="13" t="s">
        <v>42</v>
      </c>
    </row>
    <row r="14" spans="1:2" x14ac:dyDescent="0.3">
      <c r="A14" s="13" t="s">
        <v>43</v>
      </c>
    </row>
    <row r="15" spans="1:2" x14ac:dyDescent="0.3">
      <c r="A15" s="13" t="s">
        <v>44</v>
      </c>
    </row>
    <row r="16" spans="1:2" x14ac:dyDescent="0.3">
      <c r="A16" s="13" t="s">
        <v>45</v>
      </c>
    </row>
    <row r="17" spans="1:1" x14ac:dyDescent="0.3">
      <c r="A17" s="13" t="s">
        <v>46</v>
      </c>
    </row>
    <row r="19" spans="1:1" x14ac:dyDescent="0.3">
      <c r="A19" s="14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zoomScaleNormal="100" workbookViewId="0"/>
  </sheetViews>
  <sheetFormatPr defaultColWidth="8.6640625" defaultRowHeight="14.4" x14ac:dyDescent="0.3"/>
  <cols>
    <col min="1" max="1" width="42" customWidth="1"/>
    <col min="2" max="2" width="18" customWidth="1"/>
  </cols>
  <sheetData>
    <row r="1" spans="1:2" ht="17.399999999999999" x14ac:dyDescent="0.3">
      <c r="A1" s="1" t="s">
        <v>59</v>
      </c>
    </row>
    <row r="3" spans="1:2" x14ac:dyDescent="0.3">
      <c r="A3" s="4" t="s">
        <v>60</v>
      </c>
      <c r="B3" s="15">
        <v>15.6</v>
      </c>
    </row>
    <row r="4" spans="1:2" x14ac:dyDescent="0.3">
      <c r="A4" s="4" t="s">
        <v>61</v>
      </c>
      <c r="B4" s="16">
        <v>778</v>
      </c>
    </row>
    <row r="5" spans="1:2" x14ac:dyDescent="0.3">
      <c r="A5" s="4" t="s">
        <v>62</v>
      </c>
      <c r="B5" s="8" t="e">
        <f>#REF!</f>
        <v>#REF!</v>
      </c>
    </row>
    <row r="6" spans="1:2" x14ac:dyDescent="0.3">
      <c r="A6" s="4" t="s">
        <v>63</v>
      </c>
      <c r="B6" s="8" t="e">
        <f>#REF!</f>
        <v>#REF!</v>
      </c>
    </row>
    <row r="7" spans="1:2" x14ac:dyDescent="0.3">
      <c r="A7" s="4" t="s">
        <v>64</v>
      </c>
      <c r="B7" s="8" t="e">
        <f>B5-B3</f>
        <v>#REF!</v>
      </c>
    </row>
    <row r="8" spans="1:2" x14ac:dyDescent="0.3">
      <c r="A8" s="4" t="s">
        <v>65</v>
      </c>
      <c r="B8" s="17" t="e">
        <f>IF(B7&gt;0,"брати","не брати")</f>
        <v>#REF!</v>
      </c>
    </row>
    <row r="9" spans="1:2" x14ac:dyDescent="0.3">
      <c r="A9" s="4" t="s">
        <v>66</v>
      </c>
      <c r="B9" s="18" t="e">
        <f>IF(B7&gt;0,MIN(B4,B6),0)</f>
        <v>#REF!</v>
      </c>
    </row>
    <row r="10" spans="1:2" x14ac:dyDescent="0.3">
      <c r="A10" s="4" t="s">
        <v>67</v>
      </c>
      <c r="B10" s="19" t="e">
        <f>MAX(0,B9*B7)</f>
        <v>#REF!</v>
      </c>
    </row>
    <row r="12" spans="1:2" x14ac:dyDescent="0.3">
      <c r="A12" s="2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Звіт про стійкість 1</vt:lpstr>
      <vt:lpstr>Модель</vt:lpstr>
      <vt:lpstr>Налаштування Solver</vt:lpstr>
      <vt:lpstr>Закупівля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Maksym Perkhun</cp:lastModifiedBy>
  <cp:revision>0</cp:revision>
  <dcterms:created xsi:type="dcterms:W3CDTF">2026-10-01T08:09:29Z</dcterms:created>
  <dcterms:modified xsi:type="dcterms:W3CDTF">2026-10-02T14:34:29Z</dcterms:modified>
  <dc:language>en-US</dc:language>
</cp:coreProperties>
</file>